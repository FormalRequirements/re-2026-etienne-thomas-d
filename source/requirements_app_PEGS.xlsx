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Etu\Desktop\M2\S2\Requierments\source\"/>
    </mc:Choice>
  </mc:AlternateContent>
  <xr:revisionPtr revIDLastSave="0" documentId="13_ncr:1_{5C4E3187-3155-443E-82D1-54C57B174E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re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B44" i="1"/>
  <c r="B45" i="1"/>
  <c r="B46" i="1"/>
  <c r="B47" i="1"/>
  <c r="B48" i="1"/>
  <c r="B49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9" i="1"/>
  <c r="B10" i="1"/>
  <c r="B11" i="1"/>
  <c r="B12" i="1"/>
  <c r="B13" i="1"/>
  <c r="B2" i="1"/>
  <c r="B3" i="1"/>
  <c r="B4" i="1"/>
  <c r="B5" i="1"/>
  <c r="B6" i="1"/>
  <c r="B8" i="1"/>
</calcChain>
</file>

<file path=xl/sharedStrings.xml><?xml version="1.0" encoding="utf-8"?>
<sst xmlns="http://schemas.openxmlformats.org/spreadsheetml/2006/main" count="443" uniqueCount="263">
  <si>
    <t>ID</t>
  </si>
  <si>
    <t>Category</t>
  </si>
  <si>
    <t>PEGS Ref</t>
  </si>
  <si>
    <t>Title</t>
  </si>
  <si>
    <t>Description</t>
  </si>
  <si>
    <t>Rationale</t>
  </si>
  <si>
    <t>Stakeholder</t>
  </si>
  <si>
    <t>Source</t>
  </si>
  <si>
    <t>Priority</t>
  </si>
  <si>
    <t>Acceptance Criteria</t>
  </si>
  <si>
    <t>Project</t>
  </si>
  <si>
    <t>P.1</t>
  </si>
  <si>
    <t>P.4</t>
  </si>
  <si>
    <t>P.3</t>
  </si>
  <si>
    <t>Roadmap</t>
  </si>
  <si>
    <t>P.7</t>
  </si>
  <si>
    <t>P.5</t>
  </si>
  <si>
    <t>P.6</t>
  </si>
  <si>
    <t>Goals</t>
  </si>
  <si>
    <t>G.1</t>
  </si>
  <si>
    <t>G.2</t>
  </si>
  <si>
    <t>G.3</t>
  </si>
  <si>
    <t>G.5</t>
  </si>
  <si>
    <t>G.6</t>
  </si>
  <si>
    <t>Scope</t>
  </si>
  <si>
    <t>G.7</t>
  </si>
  <si>
    <t>Environment</t>
  </si>
  <si>
    <t>E.3</t>
  </si>
  <si>
    <t>E.4</t>
  </si>
  <si>
    <t>E.6</t>
  </si>
  <si>
    <t>E.1</t>
  </si>
  <si>
    <t>System</t>
  </si>
  <si>
    <t>S.1</t>
  </si>
  <si>
    <t>S.2</t>
  </si>
  <si>
    <t>Core</t>
  </si>
  <si>
    <t>UX</t>
  </si>
  <si>
    <t>Records (PR)</t>
  </si>
  <si>
    <t>Value</t>
  </si>
  <si>
    <t>V2</t>
  </si>
  <si>
    <t>S.3</t>
  </si>
  <si>
    <t>UI</t>
  </si>
  <si>
    <t>S.4</t>
  </si>
  <si>
    <t>S.5</t>
  </si>
  <si>
    <t>S.6</t>
  </si>
  <si>
    <t>#</t>
  </si>
  <si>
    <t>Roles &amp; Responsibilities</t>
  </si>
  <si>
    <t>The project must define the following minimum roles: Practitioner (User), Administrator (content management), and, if enabled, Coach (supervised access).</t>
  </si>
  <si>
    <t>Avoids ambiguity and guides screen/permission design.</t>
  </si>
  <si>
    <t>Developer</t>
  </si>
  <si>
    <t>Project Scoping</t>
  </si>
  <si>
    <t>Very High</t>
  </si>
  <si>
    <t>A Roles → Rights matrix is available and covers all V1 features.</t>
  </si>
  <si>
    <t>V1 Deliverables</t>
  </si>
  <si>
    <t>V1 must deliver an application usable in real conditions to log sessions (creation, execution, history) with reliable saving.</t>
  </si>
  <si>
    <t>Rapid Dogfooding: validate usage before adding features.</t>
  </si>
  <si>
    <t>User</t>
  </si>
  <si>
    <t>Assignment / Product</t>
  </si>
  <si>
    <t>A user can log 10 complete sessions on mobile without blocking bugs.</t>
  </si>
  <si>
    <t>Versioning Split</t>
  </si>
  <si>
    <t>The project must maintain a V1/V2/V3 split with an explicit list of exclusions for V1.</t>
  </si>
  <si>
    <t>Protects Time-to-Code and prevents loss of focus.</t>
  </si>
  <si>
    <t>High</t>
  </si>
  <si>
    <t>A 'Scope V1' document exists, with a 'Not Included' section.</t>
  </si>
  <si>
    <t>Requirements Process</t>
  </si>
  <si>
    <t>Requirements must be traced (unique ID), PEGS classified, and associated with measurable acceptance criteria.</t>
  </si>
  <si>
    <t>Facilitates academic evaluation and project steering.</t>
  </si>
  <si>
    <t>Prof / Developer</t>
  </si>
  <si>
    <t>PEGS Methodology</t>
  </si>
  <si>
    <t>100% of requirements have ID + PEGS + MoSCoW + acceptance criteria.</t>
  </si>
  <si>
    <t>Target Tech (App)</t>
  </si>
  <si>
    <t>The application must be usable on mobile for users (App &amp; Browser).</t>
  </si>
  <si>
    <t>Maximizes real usage without multiplying native apps initially.</t>
  </si>
  <si>
    <t>Tech Scoping</t>
  </si>
  <si>
    <t>The same functional base is accessible on phone and desktop.</t>
  </si>
  <si>
    <t>Risk Management</t>
  </si>
  <si>
    <t>The project must identify 5 major risks (data loss, offline, mobile perf, UX complexity, debt) and simple mitigations.</t>
  </si>
  <si>
    <t>Reduces classic failure modes of a solo-dev personal app.</t>
  </si>
  <si>
    <t>Project Management</t>
  </si>
  <si>
    <t>A risk/impact/mitigation table exists.</t>
  </si>
  <si>
    <t>Global Goal</t>
  </si>
  <si>
    <t>Allow a practitioner to track their bodybuilding/fitness workouts simply, reliably, and quickly.</t>
  </si>
  <si>
    <t>Product Alignment: an app useful in daily life.</t>
  </si>
  <si>
    <t>User Need</t>
  </si>
  <si>
    <t>A user can log a full session in less than 3 minutes of cumulative input time (excluding effort).</t>
  </si>
  <si>
    <t>Current Situation</t>
  </si>
  <si>
    <t>The practitioner currently uses paper notes/generic apps, resulting in data loss and lack of structure.</t>
  </si>
  <si>
    <t>Justifies value: structure + history + progression.</t>
  </si>
  <si>
    <t>Context</t>
  </si>
  <si>
    <t>The PEGS document describes at least 2 current solutions and their limits.</t>
  </si>
  <si>
    <t>Expected Benefits</t>
  </si>
  <si>
    <t>The app must help to: (1) save time on input, (2) visualize progression, (3) encourage consistency.</t>
  </si>
  <si>
    <t>Immediate user value.</t>
  </si>
  <si>
    <t>Objectives</t>
  </si>
  <si>
    <t>Dedicated screens exist for: fast input + progression + frequency.</t>
  </si>
  <si>
    <t>Usage Scenarios (Mobile-first)</t>
  </si>
  <si>
    <t>The app must be usable with one hand in the gym: large buttons, short flows, minimal interactions.</t>
  </si>
  <si>
    <t>Real usage during training, context constraints.</t>
  </si>
  <si>
    <t>Scenarios</t>
  </si>
  <si>
    <t>A flow 'Start Session → Log Set → Finish' requires ≤ 5 main actions.</t>
  </si>
  <si>
    <t>V1 Exclusions</t>
  </si>
  <si>
    <t>V1 excludes: coach marketplace, payments, real-time messaging, advanced AI analysis, watch/health integrations.</t>
  </si>
  <si>
    <t>Avoids time traps; keeps focus on the core.</t>
  </si>
  <si>
    <t>The list of exclusions is visible and validated.</t>
  </si>
  <si>
    <t>Stakeholders</t>
  </si>
  <si>
    <t>Minimum stakeholders are: practitioner (main user), developer (solo), evaluator (professor).</t>
  </si>
  <si>
    <t>Clarifies expectations and arbitration.</t>
  </si>
  <si>
    <t>Assignment Context</t>
  </si>
  <si>
    <t>A 'Stakeholders' section lists needs and success criteria.</t>
  </si>
  <si>
    <t>Gym Usage Constraints</t>
  </si>
  <si>
    <t>The app must work with unstable networks and allow input without depending on a continuous connection.</t>
  </si>
  <si>
    <t>In gym: 4G/Wi-Fi is often irregular.</t>
  </si>
  <si>
    <t>Field Constraint</t>
  </si>
  <si>
    <t>Offline mode: create a session and log sets without error even without network.</t>
  </si>
  <si>
    <t>Time Constraints</t>
  </si>
  <si>
    <t>Logging a set must be doable in &lt; 5 seconds via optimized UI (recent values, +/- buttons, auto-focus).</t>
  </si>
  <si>
    <t>Fast input = adoption.</t>
  </si>
  <si>
    <t>Target UX</t>
  </si>
  <si>
    <t>Manual test: logging a set in &lt; 5s on a mid-range mobile.</t>
  </si>
  <si>
    <t>Hardware Hypothesis</t>
  </si>
  <si>
    <t>The user has a recent Android/iOS smartphone (≤ 5 years) and a modern browser.</t>
  </si>
  <si>
    <t>Realistic scoping without targeting obsolete devices.</t>
  </si>
  <si>
    <t>Hypotheses</t>
  </si>
  <si>
    <t>List of tested environments (at least 1 Android + 1 desktop browser).</t>
  </si>
  <si>
    <t>Integrity Invariant</t>
  </si>
  <si>
    <t>A validated set must never disappear without explicit user action (delete/cancel).</t>
  </si>
  <si>
    <t>Data loss kills trust.</t>
  </si>
  <si>
    <t>Quality</t>
  </si>
  <si>
    <t>After restarting the app, logged sets are still present.</t>
  </si>
  <si>
    <t>Privacy Constraints (GDPR)</t>
  </si>
  <si>
    <t>The app must minimize personal data (minimization principle) and allow user data deletion/export.</t>
  </si>
  <si>
    <t>Standard requirement expected for a fitness app.</t>
  </si>
  <si>
    <t>Compliance</t>
  </si>
  <si>
    <t>User can export and delete their data from settings.</t>
  </si>
  <si>
    <t>Glossary</t>
  </si>
  <si>
    <t>A glossary must define key terms: session, exercise, set, repetition, load, PR, template, program.</t>
  </si>
  <si>
    <t>Reduces misunderstandings in requirements and UI.</t>
  </si>
  <si>
    <t>Method</t>
  </si>
  <si>
    <t>Medium</t>
  </si>
  <si>
    <t>Glossary contains at least 10 terms and is used in descriptions.</t>
  </si>
  <si>
    <t>Components - Mobile/Web</t>
  </si>
  <si>
    <t>The system must include at minimum: a mobile interface (PWA or app), a desktop web interface, and reliable data persistence (local + server).</t>
  </si>
  <si>
    <t>Global App' vision (not just API).</t>
  </si>
  <si>
    <t>App Architecture</t>
  </si>
  <si>
    <t>A component diagram is provided.</t>
  </si>
  <si>
    <t>Components - Content Admin</t>
  </si>
  <si>
    <t>The system must provide an admin area to manage the exercise library (CRUD, tags, muscle groups).</t>
  </si>
  <si>
    <t>Avoids database editing / facilitates content evolution.</t>
  </si>
  <si>
    <t>Administrator</t>
  </si>
  <si>
    <t>Support Function</t>
  </si>
  <si>
    <t>An admin can add/edit an exercise and see it on the user side.</t>
  </si>
  <si>
    <t>User Account</t>
  </si>
  <si>
    <t>The app must allow account creation, login, logout, and password recovery.</t>
  </si>
  <si>
    <t>Basis for multi-device usage + backup.</t>
  </si>
  <si>
    <t>Creation/Login/Logout tested successfully.</t>
  </si>
  <si>
    <t>Profile &amp; Preferences</t>
  </si>
  <si>
    <t>The user must be able to define preferences: units (kg/lb), language (if supported), theme (light/dark), default rest time.</t>
  </si>
  <si>
    <t>Minimal useful customization in the gym.</t>
  </si>
  <si>
    <t>Preferences impact display (e.g., kg/lb) immediately.</t>
  </si>
  <si>
    <t>Exercise Library</t>
  </si>
  <si>
    <t>The user must be able to browse and search exercises, filter by muscle group, and view a card (instructions, targeted muscles).</t>
  </si>
  <si>
    <t>Speeds up input and reduces errors.</t>
  </si>
  <si>
    <t>Search + filters functional; exercise card displayed.</t>
  </si>
  <si>
    <t>Session Creation</t>
  </si>
  <si>
    <t>The user must be able to create a session with a name, date, and list of exercises.</t>
  </si>
  <si>
    <t>Functional core.</t>
  </si>
  <si>
    <t>Create a session with ≥ 3 exercises and find it in history.</t>
  </si>
  <si>
    <t>Session Execution (Tracking)</t>
  </si>
  <si>
    <t>The user must be able to start a session and log sets for each exercise (reps, load, optional RPE).</t>
  </si>
  <si>
    <t>Real tracking in the gym.</t>
  </si>
  <si>
    <t>Log ≥ 10 sets in a session and finish the session.</t>
  </si>
  <si>
    <t>Rest Timer</t>
  </si>
  <si>
    <t>The app must offer a rest timer configurable per exercise or globally, triggerable in one gesture after validating a set.</t>
  </si>
  <si>
    <t>Supports the workout flow.</t>
  </si>
  <si>
    <t>After validating a set, timer starts in ≤ 1 action.</t>
  </si>
  <si>
    <t>Quick Input (Previous Values)</t>
  </si>
  <si>
    <t>During a set, the app must pre-fill fields with the last set performed on this exercise (or previous session).</t>
  </si>
  <si>
    <t>Huge time saver.</t>
  </si>
  <si>
    <t>Pre-filling visible and editable; tested on 2 successive sessions.</t>
  </si>
  <si>
    <t>Session History</t>
  </si>
  <si>
    <t>The user must be able to view session history (list + detail) and filter by period.</t>
  </si>
  <si>
    <t>Access to recorded data.</t>
  </si>
  <si>
    <t>Display sessions from the last 30 days + detail of one session.</t>
  </si>
  <si>
    <t>The app must detect and display personal records (max load, max reps at given load, volume) per exercise.</t>
  </si>
  <si>
    <t>Motivation and progression reading.</t>
  </si>
  <si>
    <t>A PR is updated automatically after a new performance.</t>
  </si>
  <si>
    <t>Simple Statistics</t>
  </si>
  <si>
    <t>The app must display simple stats: weekly volume, frequency, top exercises, average session time.</t>
  </si>
  <si>
    <t>Expected benefit G.3.</t>
  </si>
  <si>
    <t>A stats screen exists and reflects logged sessions.</t>
  </si>
  <si>
    <t>Templates / Routine Workouts</t>
  </si>
  <si>
    <t>The user must be able to save a session as a template and restart a workout from a template.</t>
  </si>
  <si>
    <t>Speeds up recurrent usage.</t>
  </si>
  <si>
    <t>Create a template and start a session from that template.</t>
  </si>
  <si>
    <t>Modification/Cancellation</t>
  </si>
  <si>
    <t>The user must be able to edit a set (correct load/reps) and quickly cancel the last action.</t>
  </si>
  <si>
    <t>Avoids frustration during mobile input.</t>
  </si>
  <si>
    <t>Edit an existing set and verify stats recalculation.</t>
  </si>
  <si>
    <t>Save &amp; Sync</t>
  </si>
  <si>
    <t>Data must be saved locally immediately, then synchronized to the server as soon as possible.</t>
  </si>
  <si>
    <t>Reliability + Offline.</t>
  </si>
  <si>
    <t>Cut network: input ok; restore network: sync occurs without loss.</t>
  </si>
  <si>
    <t>Simple Conflict Management</t>
  </si>
  <si>
    <t>In case of concurrent modification (2 devices), the system must apply a simple strategy: last save wins, with a warning.</t>
  </si>
  <si>
    <t>Avoids over-complexity while remaining coherent.</t>
  </si>
  <si>
    <t>Simulate 2 edits: user sees a conflict message and the final result.</t>
  </si>
  <si>
    <t>Data Export</t>
  </si>
  <si>
    <t>The user must be able to export their data (CSV/JSON) from settings.</t>
  </si>
  <si>
    <t>Portability + Assignment + GDPR.</t>
  </si>
  <si>
    <t>Export download; file contains sessions + sets.</t>
  </si>
  <si>
    <t>Body Measurements</t>
  </si>
  <si>
    <t>The app may allow logging body weight and measurements (optional).</t>
  </si>
  <si>
    <t>Value but not core V1.</t>
  </si>
  <si>
    <t>Low</t>
  </si>
  <si>
    <t>Add a measurement and display it on a simple curve.</t>
  </si>
  <si>
    <t>Share Session</t>
  </si>
  <si>
    <t>The app may allow sharing a session summary (image or link).</t>
  </si>
  <si>
    <t>Nice-to-have; risk of scope creep.</t>
  </si>
  <si>
    <t>Share a readable summary via phone apps.</t>
  </si>
  <si>
    <t>Responsive UI</t>
  </si>
  <si>
    <t>The mobile interface, intended for sports users, must be responsive and optimized for mobile usage. The desktop interface, used by coaches via browser, must also be fully responsive.</t>
  </si>
  <si>
    <t>Global App: mobile + web.</t>
  </si>
  <si>
    <t>Same flow possible on mobile and desktop without blocking.</t>
  </si>
  <si>
    <t>Basic Accessibility</t>
  </si>
  <si>
    <t>The app must respect minimal accessibility: readable font size, correct contrasts, keyboard navigation on web.</t>
  </si>
  <si>
    <t>Quality and inclusivity without huge cost.</t>
  </si>
  <si>
    <t>Manual audit: 200% zoom ok; web tabbing ok.</t>
  </si>
  <si>
    <t>Dark Mode</t>
  </si>
  <si>
    <t>The app must offer a dark mode (at least on mobile).</t>
  </si>
  <si>
    <t>Comfort in gym/low light.</t>
  </si>
  <si>
    <t>Toggle dark mode; persistence of choice.</t>
  </si>
  <si>
    <t>Scenario: Start Session</t>
  </si>
  <si>
    <t>Scenario: from home, the user starts a session (template or new), sees the exercise list, and can log the first set.</t>
  </si>
  <si>
    <t>Validates main flow.</t>
  </si>
  <si>
    <t>Flow tested end-to-end without useless navigation.</t>
  </si>
  <si>
    <t>Scenario: Offline in Gym</t>
  </si>
  <si>
    <t>Scenario: network cut, user executes full session; upon reconnection, session is synchronized.</t>
  </si>
  <si>
    <t>Critical for trust.</t>
  </si>
  <si>
    <t>Test in airplane mode: full session saved then synced.</t>
  </si>
  <si>
    <t>Scenario: Check Progression</t>
  </si>
  <si>
    <t>Scenario: user opens an exercise and sees evolution (last perfs + PR).</t>
  </si>
  <si>
    <t>Progression benefit.</t>
  </si>
  <si>
    <t>Exercise History' view displays at least 5 last performances.</t>
  </si>
  <si>
    <t>V1 Prioritization</t>
  </si>
  <si>
    <t>V1 must prioritize: session tracking, exercise library, history, save/sync. Everything else is deferrable.</t>
  </si>
  <si>
    <t>Time-to-code: avoid over-engineering.</t>
  </si>
  <si>
    <t>Backlog shows these items as MUST; V2/V3 as SHOULD/COULD.</t>
  </si>
  <si>
    <t>Perceived Performance</t>
  </si>
  <si>
    <t>Main screens must open in &lt; 1 second on a mid-range smartphone (excluding 1st load).</t>
  </si>
  <si>
    <t>Adoption: slowness kills usage.</t>
  </si>
  <si>
    <t>Manual measurement: navigation Home → Session &lt; 1s.</t>
  </si>
  <si>
    <t>Testable Acceptance Criteria</t>
  </si>
  <si>
    <t>Every V1 feature must be validated by a reproducible manual test scenario (Given/When/Then).</t>
  </si>
  <si>
    <t>Helps assignment + quality without heavy testing.</t>
  </si>
  <si>
    <t>A manual test file covers 100% of V1 MUSTs.</t>
  </si>
  <si>
    <t>Data Reliability</t>
  </si>
  <si>
    <t>After crash/restart, the app must recover a stable state (saved sessions and sets), without corruption.</t>
  </si>
  <si>
    <t>E.6 Invariant applied.</t>
  </si>
  <si>
    <t>Test: force stop app then relaunch: data intact.</t>
  </si>
  <si>
    <t>Minimal Security</t>
  </si>
  <si>
    <t>Data in transit must be protected (HTTPS) and passwords stored securely (robust hash).</t>
  </si>
  <si>
    <t>Basic hygiene, without writing a security thesis.</t>
  </si>
  <si>
    <t>Security</t>
  </si>
  <si>
    <t>Scan: no plaintext password; connection via HTTPS.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</si>
</sst>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BBB59"/>
        <bgColor indexed="64"/>
      </patternFill>
    </fill>
    <fill>
      <patternFill patternType="solid">
        <fgColor rgb="FFEBF1DE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4D79B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4D79B"/>
      </bottom>
      <diagonal/>
    </border>
    <border>
      <left style="medium">
        <color rgb="FFCCCCCC"/>
      </left>
      <right/>
      <top style="medium">
        <color rgb="FFCCCCCC"/>
      </top>
      <bottom style="medium">
        <color rgb="FFC4D79B"/>
      </bottom>
      <diagonal/>
    </border>
    <border>
      <left/>
      <right style="medium">
        <color rgb="FFCCCCCC"/>
      </right>
      <top/>
      <bottom style="medium">
        <color rgb="FFC4D79B"/>
      </bottom>
      <diagonal/>
    </border>
    <border>
      <left style="medium">
        <color rgb="FFC4D79B"/>
      </left>
      <right style="medium">
        <color rgb="FFCCCCCC"/>
      </right>
      <top/>
      <bottom style="medium">
        <color rgb="FFC4D79B"/>
      </bottom>
      <diagonal/>
    </border>
    <border>
      <left style="medium">
        <color rgb="FFC4D79B"/>
      </left>
      <right/>
      <top/>
      <bottom style="medium">
        <color rgb="FFC4D79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</cellXfs>
  <cellStyles count="1">
    <cellStyle name="Normal" xfId="0" builtinId="0"/>
  </cellStyles>
  <dxfs count="4">
    <dxf>
      <border outline="0">
        <top style="medium">
          <color rgb="FFCCCCCC"/>
        </top>
      </border>
    </dxf>
    <dxf>
      <border outline="0">
        <left style="medium">
          <color rgb="FFC4D79B"/>
        </left>
        <right style="medium">
          <color rgb="FFCCCCCC"/>
        </right>
        <top style="medium">
          <color rgb="FFC4D79B"/>
        </top>
        <bottom style="medium">
          <color rgb="FFC4D79B"/>
        </bottom>
      </border>
    </dxf>
    <dxf>
      <border outline="0">
        <bottom style="medium">
          <color rgb="FFC4D79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9BBB59"/>
        </patternFill>
      </fill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2C153A-7475-495F-A2B6-783C3C80DDCC}" name="Tableau1" displayName="Tableau1" ref="A1:K49" totalsRowShown="0" headerRowDxfId="3" headerRowBorderDxfId="2" tableBorderDxfId="1" totalsRowBorderDxfId="0">
  <autoFilter ref="A1:K49" xr:uid="{B62C153A-7475-495F-A2B6-783C3C80DDCC}"/>
  <sortState xmlns:xlrd2="http://schemas.microsoft.com/office/spreadsheetml/2017/richdata2" ref="A2:K49">
    <sortCondition ref="A1:A49"/>
  </sortState>
  <tableColumns count="11">
    <tableColumn id="1" xr3:uid="{DADFA444-40BA-4A40-9FF2-A20B15D15DEE}" name="#"/>
    <tableColumn id="2" xr3:uid="{1109E703-C591-4655-9775-BC635CC3ACD0}" name="ID">
      <calculatedColumnFormula>CONCATENATE(Tableau1[[#This Row],[PEGS Ref]],".",Tableau1[[#This Row],['#]])</calculatedColumnFormula>
    </tableColumn>
    <tableColumn id="3" xr3:uid="{3BC0C3FB-579B-4C6A-AE46-91241485DF14}" name="Category"/>
    <tableColumn id="4" xr3:uid="{6C54A7CB-6971-4151-AB36-96B20FBD84C9}" name="PEGS Ref"/>
    <tableColumn id="5" xr3:uid="{BC05A46E-82B7-4842-AFC2-620F8B426413}" name="Title"/>
    <tableColumn id="6" xr3:uid="{71717FEA-0CC5-43BD-828A-A7A6DB3124AB}" name="Description"/>
    <tableColumn id="7" xr3:uid="{6864155A-6161-4B57-8A8F-A05E0AE7823E}" name="Rationale"/>
    <tableColumn id="8" xr3:uid="{D2AD6D72-B6F7-41F1-B402-5C1FB2490948}" name="Stakeholder"/>
    <tableColumn id="9" xr3:uid="{DCEB4CA7-A9D0-450A-A08B-7CA791D56C3F}" name="Source"/>
    <tableColumn id="10" xr3:uid="{BDAC51EA-5FC1-4470-86DB-19851055EB0D}" name="Priority"/>
    <tableColumn id="11" xr3:uid="{87737B2F-63E4-42C8-ABD5-C65C33B21887}" name="Acceptance Criteri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zoomScale="85" zoomScaleNormal="85" workbookViewId="0">
      <selection activeCell="A2" sqref="A2"/>
    </sheetView>
  </sheetViews>
  <sheetFormatPr baseColWidth="10" defaultColWidth="8.88671875" defaultRowHeight="14.4" x14ac:dyDescent="0.3"/>
  <cols>
    <col min="1" max="1" width="12.109375" style="1" customWidth="1"/>
    <col min="2" max="2" width="10.33203125" style="1" customWidth="1"/>
    <col min="3" max="3" width="11.44140625" style="1" bestFit="1" customWidth="1"/>
    <col min="4" max="4" width="10.88671875" style="1" customWidth="1"/>
    <col min="5" max="5" width="31.109375" style="1" bestFit="1" customWidth="1"/>
    <col min="6" max="6" width="53.21875" style="4" bestFit="1" customWidth="1"/>
    <col min="7" max="7" width="40" style="3" customWidth="1"/>
    <col min="8" max="8" width="17" style="1" bestFit="1" customWidth="1"/>
    <col min="9" max="9" width="17.6640625" style="1" bestFit="1" customWidth="1"/>
    <col min="10" max="10" width="9.88671875" style="1" bestFit="1" customWidth="1"/>
    <col min="11" max="11" width="40" style="2" customWidth="1"/>
  </cols>
  <sheetData>
    <row r="1" spans="1:12" ht="15" thickBot="1" x14ac:dyDescent="0.35">
      <c r="A1" s="9" t="s">
        <v>44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1" t="s">
        <v>9</v>
      </c>
    </row>
    <row r="2" spans="1:12" x14ac:dyDescent="0.3">
      <c r="A2">
        <v>1</v>
      </c>
      <c r="B2" t="str">
        <f>CONCATENATE(Tableau1[[#This Row],[PEGS Ref]],".",Tableau1[[#This Row],['#]])</f>
        <v>G.1.1</v>
      </c>
      <c r="C2" t="s">
        <v>18</v>
      </c>
      <c r="D2" t="s">
        <v>19</v>
      </c>
      <c r="E2" t="s">
        <v>79</v>
      </c>
      <c r="F2" t="s">
        <v>80</v>
      </c>
      <c r="G2" t="s">
        <v>81</v>
      </c>
      <c r="H2" t="s">
        <v>55</v>
      </c>
      <c r="I2" t="s">
        <v>82</v>
      </c>
      <c r="J2" t="s">
        <v>50</v>
      </c>
      <c r="K2" t="s">
        <v>83</v>
      </c>
    </row>
    <row r="3" spans="1:12" x14ac:dyDescent="0.3">
      <c r="A3">
        <v>2</v>
      </c>
      <c r="B3" t="str">
        <f>CONCATENATE(Tableau1[[#This Row],[PEGS Ref]],".",Tableau1[[#This Row],['#]])</f>
        <v>G.2.2</v>
      </c>
      <c r="C3" t="s">
        <v>18</v>
      </c>
      <c r="D3" t="s">
        <v>20</v>
      </c>
      <c r="E3" t="s">
        <v>84</v>
      </c>
      <c r="F3" t="s">
        <v>85</v>
      </c>
      <c r="G3" t="s">
        <v>86</v>
      </c>
      <c r="H3" t="s">
        <v>55</v>
      </c>
      <c r="I3" t="s">
        <v>87</v>
      </c>
      <c r="J3" t="s">
        <v>50</v>
      </c>
      <c r="K3" t="s">
        <v>88</v>
      </c>
    </row>
    <row r="4" spans="1:12" x14ac:dyDescent="0.3">
      <c r="A4">
        <v>3</v>
      </c>
      <c r="B4" t="str">
        <f>CONCATENATE(Tableau1[[#This Row],[PEGS Ref]],".",Tableau1[[#This Row],['#]])</f>
        <v>G.3.3</v>
      </c>
      <c r="C4" t="s">
        <v>18</v>
      </c>
      <c r="D4" t="s">
        <v>21</v>
      </c>
      <c r="E4" t="s">
        <v>89</v>
      </c>
      <c r="F4" t="s">
        <v>90</v>
      </c>
      <c r="G4" t="s">
        <v>91</v>
      </c>
      <c r="H4" t="s">
        <v>55</v>
      </c>
      <c r="I4" t="s">
        <v>92</v>
      </c>
      <c r="J4" t="s">
        <v>50</v>
      </c>
      <c r="K4" t="s">
        <v>93</v>
      </c>
    </row>
    <row r="5" spans="1:12" ht="15" thickBot="1" x14ac:dyDescent="0.35">
      <c r="A5">
        <v>4</v>
      </c>
      <c r="B5" t="str">
        <f>CONCATENATE(Tableau1[[#This Row],[PEGS Ref]],".",Tableau1[[#This Row],['#]])</f>
        <v>G.5.4</v>
      </c>
      <c r="C5" t="s">
        <v>18</v>
      </c>
      <c r="D5" t="s">
        <v>22</v>
      </c>
      <c r="E5" t="s">
        <v>94</v>
      </c>
      <c r="F5" t="s">
        <v>95</v>
      </c>
      <c r="G5" t="s">
        <v>96</v>
      </c>
      <c r="H5" t="s">
        <v>55</v>
      </c>
      <c r="I5" t="s">
        <v>97</v>
      </c>
      <c r="J5" t="s">
        <v>61</v>
      </c>
      <c r="K5" t="s">
        <v>98</v>
      </c>
    </row>
    <row r="6" spans="1:12" ht="15" thickBot="1" x14ac:dyDescent="0.35">
      <c r="A6">
        <v>5</v>
      </c>
      <c r="B6" t="str">
        <f>CONCATENATE(Tableau1[[#This Row],[PEGS Ref]],".",Tableau1[[#This Row],['#]])</f>
        <v>G.6.5</v>
      </c>
      <c r="C6" t="s">
        <v>18</v>
      </c>
      <c r="D6" t="s">
        <v>23</v>
      </c>
      <c r="E6" t="s">
        <v>99</v>
      </c>
      <c r="F6" t="s">
        <v>100</v>
      </c>
      <c r="G6" t="s">
        <v>101</v>
      </c>
      <c r="H6" t="s">
        <v>48</v>
      </c>
      <c r="I6" t="s">
        <v>24</v>
      </c>
      <c r="J6" t="s">
        <v>61</v>
      </c>
      <c r="K6" t="s">
        <v>102</v>
      </c>
      <c r="L6" s="12"/>
    </row>
    <row r="7" spans="1:12" ht="15" thickBot="1" x14ac:dyDescent="0.35">
      <c r="A7">
        <v>6</v>
      </c>
      <c r="B7" t="str">
        <f>CONCATENATE(Tableau1[[#This Row],[PEGS Ref]],".",Tableau1[[#This Row],['#]])</f>
        <v>G.7.6</v>
      </c>
      <c r="C7" t="s">
        <v>18</v>
      </c>
      <c r="D7" t="s">
        <v>25</v>
      </c>
      <c r="E7" t="s">
        <v>103</v>
      </c>
      <c r="F7" t="s">
        <v>104</v>
      </c>
      <c r="G7" t="s">
        <v>105</v>
      </c>
      <c r="H7" t="s">
        <v>66</v>
      </c>
      <c r="I7" t="s">
        <v>106</v>
      </c>
      <c r="J7" t="s">
        <v>50</v>
      </c>
      <c r="K7" t="s">
        <v>107</v>
      </c>
      <c r="L7" s="7"/>
    </row>
    <row r="8" spans="1:12" ht="15" thickBot="1" x14ac:dyDescent="0.35">
      <c r="A8">
        <v>7</v>
      </c>
      <c r="B8" t="str">
        <f>CONCATENATE(Tableau1[[#This Row],[PEGS Ref]],".",Tableau1[[#This Row],['#]])</f>
        <v>E.1.7</v>
      </c>
      <c r="C8" t="s">
        <v>26</v>
      </c>
      <c r="D8" t="s">
        <v>30</v>
      </c>
      <c r="E8" t="s">
        <v>133</v>
      </c>
      <c r="F8" t="s">
        <v>134</v>
      </c>
      <c r="G8" t="s">
        <v>135</v>
      </c>
      <c r="H8" t="s">
        <v>66</v>
      </c>
      <c r="I8" t="s">
        <v>136</v>
      </c>
      <c r="J8" t="s">
        <v>137</v>
      </c>
      <c r="K8" t="s">
        <v>138</v>
      </c>
      <c r="L8" s="12"/>
    </row>
    <row r="9" spans="1:12" ht="15" thickBot="1" x14ac:dyDescent="0.35">
      <c r="A9">
        <v>8</v>
      </c>
      <c r="B9" t="str">
        <f>CONCATENATE(Tableau1[[#This Row],[PEGS Ref]],".",Tableau1[[#This Row],['#]])</f>
        <v>E.3.8</v>
      </c>
      <c r="C9" t="s">
        <v>26</v>
      </c>
      <c r="D9" t="s">
        <v>27</v>
      </c>
      <c r="E9" t="s">
        <v>108</v>
      </c>
      <c r="F9" t="s">
        <v>109</v>
      </c>
      <c r="G9" t="s">
        <v>110</v>
      </c>
      <c r="H9" t="s">
        <v>55</v>
      </c>
      <c r="I9" t="s">
        <v>111</v>
      </c>
      <c r="J9" t="s">
        <v>50</v>
      </c>
      <c r="K9" t="s">
        <v>112</v>
      </c>
      <c r="L9" s="5"/>
    </row>
    <row r="10" spans="1:12" ht="15" thickBot="1" x14ac:dyDescent="0.35">
      <c r="A10">
        <v>9</v>
      </c>
      <c r="B10" t="str">
        <f>CONCATENATE(Tableau1[[#This Row],[PEGS Ref]],".",Tableau1[[#This Row],['#]])</f>
        <v>E.3.9</v>
      </c>
      <c r="C10" t="s">
        <v>26</v>
      </c>
      <c r="D10" t="s">
        <v>27</v>
      </c>
      <c r="E10" t="s">
        <v>113</v>
      </c>
      <c r="F10" t="s">
        <v>114</v>
      </c>
      <c r="G10" t="s">
        <v>115</v>
      </c>
      <c r="H10" t="s">
        <v>55</v>
      </c>
      <c r="I10" t="s">
        <v>116</v>
      </c>
      <c r="J10" t="s">
        <v>50</v>
      </c>
      <c r="K10" t="s">
        <v>117</v>
      </c>
      <c r="L10" s="8"/>
    </row>
    <row r="11" spans="1:12" ht="15" thickBot="1" x14ac:dyDescent="0.35">
      <c r="A11">
        <v>10</v>
      </c>
      <c r="B11" t="str">
        <f>CONCATENATE(Tableau1[[#This Row],[PEGS Ref]],".",Tableau1[[#This Row],['#]])</f>
        <v>E.3.10</v>
      </c>
      <c r="C11" t="s">
        <v>26</v>
      </c>
      <c r="D11" t="s">
        <v>27</v>
      </c>
      <c r="E11" t="s">
        <v>128</v>
      </c>
      <c r="F11" t="s">
        <v>129</v>
      </c>
      <c r="G11" t="s">
        <v>130</v>
      </c>
      <c r="H11" t="s">
        <v>55</v>
      </c>
      <c r="I11" t="s">
        <v>131</v>
      </c>
      <c r="J11" t="s">
        <v>50</v>
      </c>
      <c r="K11" t="s">
        <v>132</v>
      </c>
      <c r="L11" s="6"/>
    </row>
    <row r="12" spans="1:12" ht="15" thickBot="1" x14ac:dyDescent="0.35">
      <c r="A12">
        <v>11</v>
      </c>
      <c r="B12" t="str">
        <f>CONCATENATE(Tableau1[[#This Row],[PEGS Ref]],".",Tableau1[[#This Row],['#]])</f>
        <v>E.4.11</v>
      </c>
      <c r="C12" t="s">
        <v>26</v>
      </c>
      <c r="D12" t="s">
        <v>28</v>
      </c>
      <c r="E12" t="s">
        <v>118</v>
      </c>
      <c r="F12" t="s">
        <v>119</v>
      </c>
      <c r="G12" t="s">
        <v>120</v>
      </c>
      <c r="H12" t="s">
        <v>48</v>
      </c>
      <c r="I12" t="s">
        <v>121</v>
      </c>
      <c r="J12" t="s">
        <v>61</v>
      </c>
      <c r="K12" t="s">
        <v>122</v>
      </c>
      <c r="L12" s="8"/>
    </row>
    <row r="13" spans="1:12" ht="15" thickBot="1" x14ac:dyDescent="0.35">
      <c r="A13">
        <v>12</v>
      </c>
      <c r="B13" t="str">
        <f>CONCATENATE(Tableau1[[#This Row],[PEGS Ref]],".",Tableau1[[#This Row],['#]])</f>
        <v>E.6.12</v>
      </c>
      <c r="C13" t="s">
        <v>26</v>
      </c>
      <c r="D13" t="s">
        <v>29</v>
      </c>
      <c r="E13" t="s">
        <v>123</v>
      </c>
      <c r="F13" t="s">
        <v>124</v>
      </c>
      <c r="G13" t="s">
        <v>125</v>
      </c>
      <c r="H13" t="s">
        <v>55</v>
      </c>
      <c r="I13" t="s">
        <v>126</v>
      </c>
      <c r="J13" t="s">
        <v>50</v>
      </c>
      <c r="K13" t="s">
        <v>127</v>
      </c>
      <c r="L13" s="6"/>
    </row>
    <row r="14" spans="1:12" ht="15" thickBot="1" x14ac:dyDescent="0.35">
      <c r="A14">
        <v>13</v>
      </c>
      <c r="B14" t="str">
        <f>CONCATENATE(Tableau1[[#This Row],[PEGS Ref]],".",Tableau1[[#This Row],['#]])</f>
        <v>S.1.13</v>
      </c>
      <c r="C14" t="s">
        <v>31</v>
      </c>
      <c r="D14" t="s">
        <v>32</v>
      </c>
      <c r="E14" t="s">
        <v>139</v>
      </c>
      <c r="F14" t="s">
        <v>140</v>
      </c>
      <c r="G14" t="s">
        <v>141</v>
      </c>
      <c r="H14" t="s">
        <v>48</v>
      </c>
      <c r="I14" t="s">
        <v>142</v>
      </c>
      <c r="J14" t="s">
        <v>50</v>
      </c>
      <c r="K14" t="s">
        <v>143</v>
      </c>
      <c r="L14" s="8"/>
    </row>
    <row r="15" spans="1:12" ht="15" thickBot="1" x14ac:dyDescent="0.35">
      <c r="A15">
        <v>14</v>
      </c>
      <c r="B15" t="str">
        <f>CONCATENATE(Tableau1[[#This Row],[PEGS Ref]],".",Tableau1[[#This Row],['#]])</f>
        <v>S.1.14</v>
      </c>
      <c r="C15" t="s">
        <v>31</v>
      </c>
      <c r="D15" t="s">
        <v>32</v>
      </c>
      <c r="E15" t="s">
        <v>144</v>
      </c>
      <c r="F15" t="s">
        <v>145</v>
      </c>
      <c r="G15" t="s">
        <v>146</v>
      </c>
      <c r="H15" t="s">
        <v>147</v>
      </c>
      <c r="I15" t="s">
        <v>148</v>
      </c>
      <c r="J15" t="s">
        <v>61</v>
      </c>
      <c r="K15" t="s">
        <v>149</v>
      </c>
      <c r="L15" s="6"/>
    </row>
    <row r="16" spans="1:12" ht="15" thickBot="1" x14ac:dyDescent="0.35">
      <c r="A16">
        <v>15</v>
      </c>
      <c r="B16" t="str">
        <f>CONCATENATE(Tableau1[[#This Row],[PEGS Ref]],".",Tableau1[[#This Row],['#]])</f>
        <v>S.2.15</v>
      </c>
      <c r="C16" t="s">
        <v>31</v>
      </c>
      <c r="D16" t="s">
        <v>33</v>
      </c>
      <c r="E16" t="s">
        <v>150</v>
      </c>
      <c r="F16" t="s">
        <v>151</v>
      </c>
      <c r="G16" t="s">
        <v>152</v>
      </c>
      <c r="H16" t="s">
        <v>55</v>
      </c>
      <c r="I16" t="s">
        <v>34</v>
      </c>
      <c r="J16" t="s">
        <v>50</v>
      </c>
      <c r="K16" t="s">
        <v>153</v>
      </c>
      <c r="L16" s="8"/>
    </row>
    <row r="17" spans="1:12" ht="15" thickBot="1" x14ac:dyDescent="0.35">
      <c r="A17">
        <v>16</v>
      </c>
      <c r="B17" t="str">
        <f>CONCATENATE(Tableau1[[#This Row],[PEGS Ref]],".",Tableau1[[#This Row],['#]])</f>
        <v>S.2.16</v>
      </c>
      <c r="C17" t="s">
        <v>31</v>
      </c>
      <c r="D17" t="s">
        <v>33</v>
      </c>
      <c r="E17" t="s">
        <v>154</v>
      </c>
      <c r="F17" t="s">
        <v>155</v>
      </c>
      <c r="G17" t="s">
        <v>156</v>
      </c>
      <c r="H17" t="s">
        <v>55</v>
      </c>
      <c r="I17" t="s">
        <v>35</v>
      </c>
      <c r="J17" t="s">
        <v>61</v>
      </c>
      <c r="K17" t="s">
        <v>157</v>
      </c>
      <c r="L17" s="6"/>
    </row>
    <row r="18" spans="1:12" ht="15" thickBot="1" x14ac:dyDescent="0.35">
      <c r="A18">
        <v>17</v>
      </c>
      <c r="B18" t="str">
        <f>CONCATENATE(Tableau1[[#This Row],[PEGS Ref]],".",Tableau1[[#This Row],['#]])</f>
        <v>S.2.17</v>
      </c>
      <c r="C18" t="s">
        <v>31</v>
      </c>
      <c r="D18" t="s">
        <v>33</v>
      </c>
      <c r="E18" t="s">
        <v>158</v>
      </c>
      <c r="F18" t="s">
        <v>159</v>
      </c>
      <c r="G18" t="s">
        <v>160</v>
      </c>
      <c r="H18" t="s">
        <v>55</v>
      </c>
      <c r="I18" t="s">
        <v>34</v>
      </c>
      <c r="J18" t="s">
        <v>50</v>
      </c>
      <c r="K18" t="s">
        <v>161</v>
      </c>
      <c r="L18" s="8"/>
    </row>
    <row r="19" spans="1:12" ht="15" thickBot="1" x14ac:dyDescent="0.35">
      <c r="A19">
        <v>18</v>
      </c>
      <c r="B19" t="str">
        <f>CONCATENATE(Tableau1[[#This Row],[PEGS Ref]],".",Tableau1[[#This Row],['#]])</f>
        <v>S.2.18</v>
      </c>
      <c r="C19" t="s">
        <v>31</v>
      </c>
      <c r="D19" t="s">
        <v>33</v>
      </c>
      <c r="E19" t="s">
        <v>162</v>
      </c>
      <c r="F19" t="s">
        <v>163</v>
      </c>
      <c r="G19" t="s">
        <v>164</v>
      </c>
      <c r="H19" t="s">
        <v>55</v>
      </c>
      <c r="I19" t="s">
        <v>34</v>
      </c>
      <c r="J19" t="s">
        <v>50</v>
      </c>
      <c r="K19" t="s">
        <v>165</v>
      </c>
      <c r="L19" s="5"/>
    </row>
    <row r="20" spans="1:12" ht="15" thickBot="1" x14ac:dyDescent="0.35">
      <c r="A20">
        <v>19</v>
      </c>
      <c r="B20" t="str">
        <f>CONCATENATE(Tableau1[[#This Row],[PEGS Ref]],".",Tableau1[[#This Row],['#]])</f>
        <v>S.2.19</v>
      </c>
      <c r="C20" t="s">
        <v>31</v>
      </c>
      <c r="D20" t="s">
        <v>33</v>
      </c>
      <c r="E20" t="s">
        <v>166</v>
      </c>
      <c r="F20" t="s">
        <v>167</v>
      </c>
      <c r="G20" t="s">
        <v>168</v>
      </c>
      <c r="H20" t="s">
        <v>55</v>
      </c>
      <c r="I20" t="s">
        <v>34</v>
      </c>
      <c r="J20" t="s">
        <v>50</v>
      </c>
      <c r="K20" t="s">
        <v>169</v>
      </c>
      <c r="L20" s="12"/>
    </row>
    <row r="21" spans="1:12" ht="15" thickBot="1" x14ac:dyDescent="0.35">
      <c r="A21">
        <v>20</v>
      </c>
      <c r="B21" t="str">
        <f>CONCATENATE(Tableau1[[#This Row],[PEGS Ref]],".",Tableau1[[#This Row],['#]])</f>
        <v>S.2.20</v>
      </c>
      <c r="C21" t="s">
        <v>31</v>
      </c>
      <c r="D21" t="s">
        <v>33</v>
      </c>
      <c r="E21" t="s">
        <v>170</v>
      </c>
      <c r="F21" t="s">
        <v>171</v>
      </c>
      <c r="G21" t="s">
        <v>172</v>
      </c>
      <c r="H21" t="s">
        <v>55</v>
      </c>
      <c r="I21" t="s">
        <v>35</v>
      </c>
      <c r="J21" t="s">
        <v>61</v>
      </c>
      <c r="K21" t="s">
        <v>173</v>
      </c>
      <c r="L21" s="5"/>
    </row>
    <row r="22" spans="1:12" ht="15" thickBot="1" x14ac:dyDescent="0.35">
      <c r="A22">
        <v>21</v>
      </c>
      <c r="B22" t="str">
        <f>CONCATENATE(Tableau1[[#This Row],[PEGS Ref]],".",Tableau1[[#This Row],['#]])</f>
        <v>S.2.21</v>
      </c>
      <c r="C22" t="s">
        <v>31</v>
      </c>
      <c r="D22" t="s">
        <v>33</v>
      </c>
      <c r="E22" t="s">
        <v>174</v>
      </c>
      <c r="F22" t="s">
        <v>175</v>
      </c>
      <c r="G22" t="s">
        <v>176</v>
      </c>
      <c r="H22" t="s">
        <v>55</v>
      </c>
      <c r="I22" t="s">
        <v>35</v>
      </c>
      <c r="J22" t="s">
        <v>61</v>
      </c>
      <c r="K22" t="s">
        <v>177</v>
      </c>
      <c r="L22" s="12"/>
    </row>
    <row r="23" spans="1:12" ht="15" thickBot="1" x14ac:dyDescent="0.35">
      <c r="A23">
        <v>22</v>
      </c>
      <c r="B23" t="str">
        <f>CONCATENATE(Tableau1[[#This Row],[PEGS Ref]],".",Tableau1[[#This Row],['#]])</f>
        <v>S.2.22</v>
      </c>
      <c r="C23" t="s">
        <v>31</v>
      </c>
      <c r="D23" t="s">
        <v>33</v>
      </c>
      <c r="E23" t="s">
        <v>178</v>
      </c>
      <c r="F23" t="s">
        <v>179</v>
      </c>
      <c r="G23" t="s">
        <v>180</v>
      </c>
      <c r="H23" t="s">
        <v>55</v>
      </c>
      <c r="I23" t="s">
        <v>34</v>
      </c>
      <c r="J23" t="s">
        <v>50</v>
      </c>
      <c r="K23" t="s">
        <v>181</v>
      </c>
      <c r="L23" s="6"/>
    </row>
    <row r="24" spans="1:12" ht="15" thickBot="1" x14ac:dyDescent="0.35">
      <c r="A24">
        <v>23</v>
      </c>
      <c r="B24" t="str">
        <f>CONCATENATE(Tableau1[[#This Row],[PEGS Ref]],".",Tableau1[[#This Row],['#]])</f>
        <v>S.2.23</v>
      </c>
      <c r="C24" t="s">
        <v>31</v>
      </c>
      <c r="D24" t="s">
        <v>33</v>
      </c>
      <c r="E24" t="s">
        <v>36</v>
      </c>
      <c r="F24" t="s">
        <v>182</v>
      </c>
      <c r="G24" t="s">
        <v>183</v>
      </c>
      <c r="H24" t="s">
        <v>55</v>
      </c>
      <c r="I24" t="s">
        <v>37</v>
      </c>
      <c r="J24" t="s">
        <v>137</v>
      </c>
      <c r="K24" t="s">
        <v>184</v>
      </c>
      <c r="L24" s="8"/>
    </row>
    <row r="25" spans="1:12" ht="15" thickBot="1" x14ac:dyDescent="0.35">
      <c r="A25">
        <v>24</v>
      </c>
      <c r="B25" t="str">
        <f>CONCATENATE(Tableau1[[#This Row],[PEGS Ref]],".",Tableau1[[#This Row],['#]])</f>
        <v>S.2.24</v>
      </c>
      <c r="C25" t="s">
        <v>31</v>
      </c>
      <c r="D25" t="s">
        <v>33</v>
      </c>
      <c r="E25" t="s">
        <v>185</v>
      </c>
      <c r="F25" t="s">
        <v>186</v>
      </c>
      <c r="G25" t="s">
        <v>187</v>
      </c>
      <c r="H25" t="s">
        <v>55</v>
      </c>
      <c r="I25" t="s">
        <v>37</v>
      </c>
      <c r="J25" t="s">
        <v>137</v>
      </c>
      <c r="K25" t="s">
        <v>188</v>
      </c>
      <c r="L25" s="6"/>
    </row>
    <row r="26" spans="1:12" ht="15" thickBot="1" x14ac:dyDescent="0.35">
      <c r="A26">
        <v>25</v>
      </c>
      <c r="B26" t="str">
        <f>CONCATENATE(Tableau1[[#This Row],[PEGS Ref]],".",Tableau1[[#This Row],['#]])</f>
        <v>S.2.25</v>
      </c>
      <c r="C26" t="s">
        <v>31</v>
      </c>
      <c r="D26" t="s">
        <v>33</v>
      </c>
      <c r="E26" t="s">
        <v>189</v>
      </c>
      <c r="F26" t="s">
        <v>190</v>
      </c>
      <c r="G26" t="s">
        <v>191</v>
      </c>
      <c r="H26" t="s">
        <v>55</v>
      </c>
      <c r="I26" t="s">
        <v>34</v>
      </c>
      <c r="J26" t="s">
        <v>61</v>
      </c>
      <c r="K26" t="s">
        <v>192</v>
      </c>
      <c r="L26" s="8"/>
    </row>
    <row r="27" spans="1:12" ht="15" thickBot="1" x14ac:dyDescent="0.35">
      <c r="A27">
        <v>26</v>
      </c>
      <c r="B27" t="str">
        <f>CONCATENATE(Tableau1[[#This Row],[PEGS Ref]],".",Tableau1[[#This Row],['#]])</f>
        <v>S.2.26</v>
      </c>
      <c r="C27" t="s">
        <v>31</v>
      </c>
      <c r="D27" t="s">
        <v>33</v>
      </c>
      <c r="E27" t="s">
        <v>193</v>
      </c>
      <c r="F27" t="s">
        <v>194</v>
      </c>
      <c r="G27" t="s">
        <v>195</v>
      </c>
      <c r="H27" t="s">
        <v>55</v>
      </c>
      <c r="I27" t="s">
        <v>35</v>
      </c>
      <c r="J27" t="s">
        <v>61</v>
      </c>
      <c r="K27" t="s">
        <v>196</v>
      </c>
      <c r="L27" s="6"/>
    </row>
    <row r="28" spans="1:12" ht="15" thickBot="1" x14ac:dyDescent="0.35">
      <c r="A28">
        <v>27</v>
      </c>
      <c r="B28" t="str">
        <f>CONCATENATE(Tableau1[[#This Row],[PEGS Ref]],".",Tableau1[[#This Row],['#]])</f>
        <v>S.2.27</v>
      </c>
      <c r="C28" t="s">
        <v>31</v>
      </c>
      <c r="D28" t="s">
        <v>33</v>
      </c>
      <c r="E28" t="s">
        <v>197</v>
      </c>
      <c r="F28" t="s">
        <v>198</v>
      </c>
      <c r="G28" t="s">
        <v>199</v>
      </c>
      <c r="H28" t="s">
        <v>55</v>
      </c>
      <c r="I28" t="s">
        <v>126</v>
      </c>
      <c r="J28" t="s">
        <v>50</v>
      </c>
      <c r="K28" t="s">
        <v>200</v>
      </c>
      <c r="L28" s="8"/>
    </row>
    <row r="29" spans="1:12" ht="15" thickBot="1" x14ac:dyDescent="0.35">
      <c r="A29">
        <v>28</v>
      </c>
      <c r="B29" t="str">
        <f>CONCATENATE(Tableau1[[#This Row],[PEGS Ref]],".",Tableau1[[#This Row],['#]])</f>
        <v>S.2.28</v>
      </c>
      <c r="C29" t="s">
        <v>31</v>
      </c>
      <c r="D29" t="s">
        <v>33</v>
      </c>
      <c r="E29" t="s">
        <v>201</v>
      </c>
      <c r="F29" t="s">
        <v>202</v>
      </c>
      <c r="G29" t="s">
        <v>203</v>
      </c>
      <c r="H29" t="s">
        <v>48</v>
      </c>
      <c r="I29" t="s">
        <v>126</v>
      </c>
      <c r="J29" t="s">
        <v>137</v>
      </c>
      <c r="K29" t="s">
        <v>204</v>
      </c>
      <c r="L29" s="6"/>
    </row>
    <row r="30" spans="1:12" ht="15" thickBot="1" x14ac:dyDescent="0.35">
      <c r="A30">
        <v>29</v>
      </c>
      <c r="B30" t="str">
        <f>CONCATENATE(Tableau1[[#This Row],[PEGS Ref]],".",Tableau1[[#This Row],['#]])</f>
        <v>S.2.29</v>
      </c>
      <c r="C30" t="s">
        <v>31</v>
      </c>
      <c r="D30" t="s">
        <v>33</v>
      </c>
      <c r="E30" t="s">
        <v>205</v>
      </c>
      <c r="F30" t="s">
        <v>206</v>
      </c>
      <c r="G30" t="s">
        <v>207</v>
      </c>
      <c r="H30" t="s">
        <v>55</v>
      </c>
      <c r="I30" t="s">
        <v>131</v>
      </c>
      <c r="J30" t="s">
        <v>137</v>
      </c>
      <c r="K30" t="s">
        <v>208</v>
      </c>
      <c r="L30" s="8"/>
    </row>
    <row r="31" spans="1:12" ht="15" thickBot="1" x14ac:dyDescent="0.35">
      <c r="A31">
        <v>30</v>
      </c>
      <c r="B31" t="str">
        <f>CONCATENATE(Tableau1[[#This Row],[PEGS Ref]],".",Tableau1[[#This Row],['#]])</f>
        <v>S.2.30</v>
      </c>
      <c r="C31" t="s">
        <v>31</v>
      </c>
      <c r="D31" t="s">
        <v>33</v>
      </c>
      <c r="E31" t="s">
        <v>209</v>
      </c>
      <c r="F31" t="s">
        <v>210</v>
      </c>
      <c r="G31" t="s">
        <v>211</v>
      </c>
      <c r="H31" t="s">
        <v>55</v>
      </c>
      <c r="I31" t="s">
        <v>38</v>
      </c>
      <c r="J31" t="s">
        <v>212</v>
      </c>
      <c r="K31" t="s">
        <v>213</v>
      </c>
      <c r="L31" s="6"/>
    </row>
    <row r="32" spans="1:12" ht="15" thickBot="1" x14ac:dyDescent="0.35">
      <c r="A32">
        <v>31</v>
      </c>
      <c r="B32" t="str">
        <f>CONCATENATE(Tableau1[[#This Row],[PEGS Ref]],".",Tableau1[[#This Row],['#]])</f>
        <v>S.2.31</v>
      </c>
      <c r="C32" t="s">
        <v>31</v>
      </c>
      <c r="D32" t="s">
        <v>33</v>
      </c>
      <c r="E32" t="s">
        <v>214</v>
      </c>
      <c r="F32" t="s">
        <v>215</v>
      </c>
      <c r="G32" t="s">
        <v>216</v>
      </c>
      <c r="H32" t="s">
        <v>55</v>
      </c>
      <c r="I32" t="s">
        <v>38</v>
      </c>
      <c r="J32" t="s">
        <v>212</v>
      </c>
      <c r="K32" t="s">
        <v>217</v>
      </c>
      <c r="L32" s="8"/>
    </row>
    <row r="33" spans="1:12" ht="15" thickBot="1" x14ac:dyDescent="0.35">
      <c r="A33">
        <v>32</v>
      </c>
      <c r="B33" t="str">
        <f>CONCATENATE(Tableau1[[#This Row],[PEGS Ref]],".",Tableau1[[#This Row],['#]])</f>
        <v>S.3.32</v>
      </c>
      <c r="C33" t="s">
        <v>31</v>
      </c>
      <c r="D33" t="s">
        <v>39</v>
      </c>
      <c r="E33" t="s">
        <v>218</v>
      </c>
      <c r="F33" t="s">
        <v>219</v>
      </c>
      <c r="G33" t="s">
        <v>220</v>
      </c>
      <c r="H33" t="s">
        <v>55</v>
      </c>
      <c r="I33" t="s">
        <v>40</v>
      </c>
      <c r="J33" t="s">
        <v>50</v>
      </c>
      <c r="K33" t="s">
        <v>221</v>
      </c>
      <c r="L33" s="6"/>
    </row>
    <row r="34" spans="1:12" ht="15" thickBot="1" x14ac:dyDescent="0.35">
      <c r="A34">
        <v>33</v>
      </c>
      <c r="B34" t="str">
        <f>CONCATENATE(Tableau1[[#This Row],[PEGS Ref]],".",Tableau1[[#This Row],['#]])</f>
        <v>S.3.33</v>
      </c>
      <c r="C34" t="s">
        <v>31</v>
      </c>
      <c r="D34" t="s">
        <v>39</v>
      </c>
      <c r="E34" t="s">
        <v>222</v>
      </c>
      <c r="F34" t="s">
        <v>223</v>
      </c>
      <c r="G34" t="s">
        <v>224</v>
      </c>
      <c r="H34" t="s">
        <v>55</v>
      </c>
      <c r="I34" t="s">
        <v>126</v>
      </c>
      <c r="J34" t="s">
        <v>137</v>
      </c>
      <c r="K34" t="s">
        <v>225</v>
      </c>
      <c r="L34" s="8"/>
    </row>
    <row r="35" spans="1:12" ht="15" thickBot="1" x14ac:dyDescent="0.35">
      <c r="A35">
        <v>34</v>
      </c>
      <c r="B35" t="str">
        <f>CONCATENATE(Tableau1[[#This Row],[PEGS Ref]],".",Tableau1[[#This Row],['#]])</f>
        <v>S.3.34</v>
      </c>
      <c r="C35" t="s">
        <v>31</v>
      </c>
      <c r="D35" t="s">
        <v>39</v>
      </c>
      <c r="E35" t="s">
        <v>226</v>
      </c>
      <c r="F35" t="s">
        <v>227</v>
      </c>
      <c r="G35" t="s">
        <v>228</v>
      </c>
      <c r="H35" t="s">
        <v>55</v>
      </c>
      <c r="I35" t="s">
        <v>35</v>
      </c>
      <c r="J35" t="s">
        <v>137</v>
      </c>
      <c r="K35" t="s">
        <v>229</v>
      </c>
      <c r="L35" s="6"/>
    </row>
    <row r="36" spans="1:12" ht="15" thickBot="1" x14ac:dyDescent="0.35">
      <c r="A36">
        <v>35</v>
      </c>
      <c r="B36" t="str">
        <f>CONCATENATE(Tableau1[[#This Row],[PEGS Ref]],".",Tableau1[[#This Row],['#]])</f>
        <v>S.4.35</v>
      </c>
      <c r="C36" t="s">
        <v>31</v>
      </c>
      <c r="D36" t="s">
        <v>41</v>
      </c>
      <c r="E36" t="s">
        <v>230</v>
      </c>
      <c r="F36" t="s">
        <v>231</v>
      </c>
      <c r="G36" t="s">
        <v>232</v>
      </c>
      <c r="H36" t="s">
        <v>55</v>
      </c>
      <c r="I36" t="s">
        <v>97</v>
      </c>
      <c r="J36" t="s">
        <v>50</v>
      </c>
      <c r="K36" t="s">
        <v>233</v>
      </c>
      <c r="L36" s="8"/>
    </row>
    <row r="37" spans="1:12" ht="15" thickBot="1" x14ac:dyDescent="0.35">
      <c r="A37">
        <v>36</v>
      </c>
      <c r="B37" t="str">
        <f>CONCATENATE(Tableau1[[#This Row],[PEGS Ref]],".",Tableau1[[#This Row],['#]])</f>
        <v>S.4.36</v>
      </c>
      <c r="C37" t="s">
        <v>31</v>
      </c>
      <c r="D37" t="s">
        <v>41</v>
      </c>
      <c r="E37" t="s">
        <v>234</v>
      </c>
      <c r="F37" t="s">
        <v>235</v>
      </c>
      <c r="G37" t="s">
        <v>236</v>
      </c>
      <c r="H37" t="s">
        <v>55</v>
      </c>
      <c r="I37" t="s">
        <v>97</v>
      </c>
      <c r="J37" t="s">
        <v>50</v>
      </c>
      <c r="K37" t="s">
        <v>237</v>
      </c>
      <c r="L37" s="6"/>
    </row>
    <row r="38" spans="1:12" ht="15" thickBot="1" x14ac:dyDescent="0.35">
      <c r="A38">
        <v>37</v>
      </c>
      <c r="B38" t="str">
        <f>CONCATENATE(Tableau1[[#This Row],[PEGS Ref]],".",Tableau1[[#This Row],['#]])</f>
        <v>S.4.37</v>
      </c>
      <c r="C38" t="s">
        <v>31</v>
      </c>
      <c r="D38" t="s">
        <v>41</v>
      </c>
      <c r="E38" t="s">
        <v>238</v>
      </c>
      <c r="F38" t="s">
        <v>239</v>
      </c>
      <c r="G38" t="s">
        <v>240</v>
      </c>
      <c r="H38" t="s">
        <v>55</v>
      </c>
      <c r="I38" t="s">
        <v>97</v>
      </c>
      <c r="J38" t="s">
        <v>137</v>
      </c>
      <c r="K38" t="s">
        <v>241</v>
      </c>
      <c r="L38" s="8"/>
    </row>
    <row r="39" spans="1:12" ht="15" thickBot="1" x14ac:dyDescent="0.35">
      <c r="A39">
        <v>38</v>
      </c>
      <c r="B39" t="str">
        <f>CONCATENATE(Tableau1[[#This Row],[PEGS Ref]],".",Tableau1[[#This Row],['#]])</f>
        <v>S.5.38</v>
      </c>
      <c r="C39" t="s">
        <v>31</v>
      </c>
      <c r="D39" t="s">
        <v>42</v>
      </c>
      <c r="E39" t="s">
        <v>242</v>
      </c>
      <c r="F39" t="s">
        <v>243</v>
      </c>
      <c r="G39" t="s">
        <v>244</v>
      </c>
      <c r="H39" t="s">
        <v>48</v>
      </c>
      <c r="I39" t="s">
        <v>14</v>
      </c>
      <c r="J39" t="s">
        <v>50</v>
      </c>
      <c r="K39" t="s">
        <v>245</v>
      </c>
      <c r="L39" s="6"/>
    </row>
    <row r="40" spans="1:12" ht="15" thickBot="1" x14ac:dyDescent="0.35">
      <c r="A40">
        <v>39</v>
      </c>
      <c r="B40" t="str">
        <f>CONCATENATE(Tableau1[[#This Row],[PEGS Ref]],".",Tableau1[[#This Row],['#]])</f>
        <v>S.5.39</v>
      </c>
      <c r="C40" t="s">
        <v>31</v>
      </c>
      <c r="D40" t="s">
        <v>42</v>
      </c>
      <c r="E40" t="s">
        <v>246</v>
      </c>
      <c r="F40" t="s">
        <v>247</v>
      </c>
      <c r="G40" t="s">
        <v>248</v>
      </c>
      <c r="H40" t="s">
        <v>55</v>
      </c>
      <c r="I40" t="s">
        <v>126</v>
      </c>
      <c r="J40" t="s">
        <v>61</v>
      </c>
      <c r="K40" t="s">
        <v>249</v>
      </c>
      <c r="L40" s="8"/>
    </row>
    <row r="41" spans="1:12" ht="15" thickBot="1" x14ac:dyDescent="0.35">
      <c r="A41">
        <v>40</v>
      </c>
      <c r="B41" t="str">
        <f>CONCATENATE(Tableau1[[#This Row],[PEGS Ref]],".",Tableau1[[#This Row],['#]])</f>
        <v>S.6.40</v>
      </c>
      <c r="C41" t="s">
        <v>31</v>
      </c>
      <c r="D41" t="s">
        <v>43</v>
      </c>
      <c r="E41" t="s">
        <v>250</v>
      </c>
      <c r="F41" t="s">
        <v>251</v>
      </c>
      <c r="G41" t="s">
        <v>252</v>
      </c>
      <c r="H41" t="s">
        <v>66</v>
      </c>
      <c r="I41" t="s">
        <v>126</v>
      </c>
      <c r="J41" t="s">
        <v>50</v>
      </c>
      <c r="K41" t="s">
        <v>253</v>
      </c>
      <c r="L41" s="6"/>
    </row>
    <row r="42" spans="1:12" ht="15" thickBot="1" x14ac:dyDescent="0.35">
      <c r="A42">
        <v>41</v>
      </c>
      <c r="B42" t="str">
        <f>CONCATENATE(Tableau1[[#This Row],[PEGS Ref]],".",Tableau1[[#This Row],['#]])</f>
        <v>S.6.41</v>
      </c>
      <c r="C42" t="s">
        <v>31</v>
      </c>
      <c r="D42" t="s">
        <v>43</v>
      </c>
      <c r="E42" t="s">
        <v>254</v>
      </c>
      <c r="F42" t="s">
        <v>255</v>
      </c>
      <c r="G42" t="s">
        <v>256</v>
      </c>
      <c r="H42" t="s">
        <v>55</v>
      </c>
      <c r="I42" t="s">
        <v>126</v>
      </c>
      <c r="J42" t="s">
        <v>50</v>
      </c>
      <c r="K42" t="s">
        <v>257</v>
      </c>
      <c r="L42" s="8"/>
    </row>
    <row r="43" spans="1:12" ht="15" thickBot="1" x14ac:dyDescent="0.35">
      <c r="A43">
        <v>42</v>
      </c>
      <c r="B43" t="str">
        <f>CONCATENATE(Tableau1[[#This Row],[PEGS Ref]],".",Tableau1[[#This Row],['#]])</f>
        <v>S.6.42</v>
      </c>
      <c r="C43" t="s">
        <v>31</v>
      </c>
      <c r="D43" t="s">
        <v>43</v>
      </c>
      <c r="E43" t="s">
        <v>258</v>
      </c>
      <c r="F43" t="s">
        <v>259</v>
      </c>
      <c r="G43" t="s">
        <v>260</v>
      </c>
      <c r="H43" t="s">
        <v>55</v>
      </c>
      <c r="I43" t="s">
        <v>261</v>
      </c>
      <c r="J43" t="s">
        <v>61</v>
      </c>
      <c r="K43" t="s">
        <v>262</v>
      </c>
      <c r="L43" s="6"/>
    </row>
    <row r="44" spans="1:12" ht="15" thickBot="1" x14ac:dyDescent="0.35">
      <c r="A44">
        <v>43</v>
      </c>
      <c r="B44" t="str">
        <f>CONCATENATE(Tableau1[[#This Row],[PEGS Ref]],".",Tableau1[[#This Row],['#]])</f>
        <v>P.1.43</v>
      </c>
      <c r="C44" t="s">
        <v>10</v>
      </c>
      <c r="D44" t="s">
        <v>11</v>
      </c>
      <c r="E44" t="s">
        <v>45</v>
      </c>
      <c r="F44" t="s">
        <v>46</v>
      </c>
      <c r="G44" t="s">
        <v>47</v>
      </c>
      <c r="H44" t="s">
        <v>48</v>
      </c>
      <c r="I44" t="s">
        <v>49</v>
      </c>
      <c r="J44" t="s">
        <v>50</v>
      </c>
      <c r="K44" t="s">
        <v>51</v>
      </c>
      <c r="L44" s="8"/>
    </row>
    <row r="45" spans="1:12" ht="15" thickBot="1" x14ac:dyDescent="0.35">
      <c r="A45">
        <v>44</v>
      </c>
      <c r="B45" t="str">
        <f>CONCATENATE(Tableau1[[#This Row],[PEGS Ref]],".",Tableau1[[#This Row],['#]])</f>
        <v>P.3.44</v>
      </c>
      <c r="C45" t="s">
        <v>10</v>
      </c>
      <c r="D45" t="s">
        <v>13</v>
      </c>
      <c r="E45" t="s">
        <v>58</v>
      </c>
      <c r="F45" t="s">
        <v>59</v>
      </c>
      <c r="G45" t="s">
        <v>60</v>
      </c>
      <c r="H45" t="s">
        <v>48</v>
      </c>
      <c r="I45" t="s">
        <v>14</v>
      </c>
      <c r="J45" t="s">
        <v>61</v>
      </c>
      <c r="K45" t="s">
        <v>62</v>
      </c>
      <c r="L45" s="6"/>
    </row>
    <row r="46" spans="1:12" ht="15" thickBot="1" x14ac:dyDescent="0.35">
      <c r="A46">
        <v>45</v>
      </c>
      <c r="B46" t="str">
        <f>CONCATENATE(Tableau1[[#This Row],[PEGS Ref]],".",Tableau1[[#This Row],['#]])</f>
        <v>P.4.45</v>
      </c>
      <c r="C46" t="s">
        <v>10</v>
      </c>
      <c r="D46" t="s">
        <v>12</v>
      </c>
      <c r="E46" t="s">
        <v>52</v>
      </c>
      <c r="F46" t="s">
        <v>53</v>
      </c>
      <c r="G46" t="s">
        <v>54</v>
      </c>
      <c r="H46" t="s">
        <v>55</v>
      </c>
      <c r="I46" t="s">
        <v>56</v>
      </c>
      <c r="J46" t="s">
        <v>50</v>
      </c>
      <c r="K46" t="s">
        <v>57</v>
      </c>
      <c r="L46" s="8"/>
    </row>
    <row r="47" spans="1:12" ht="15" thickBot="1" x14ac:dyDescent="0.35">
      <c r="A47">
        <v>46</v>
      </c>
      <c r="B47" t="str">
        <f>CONCATENATE(Tableau1[[#This Row],[PEGS Ref]],".",Tableau1[[#This Row],['#]])</f>
        <v>P.5.46</v>
      </c>
      <c r="C47" t="s">
        <v>10</v>
      </c>
      <c r="D47" t="s">
        <v>16</v>
      </c>
      <c r="E47" t="s">
        <v>69</v>
      </c>
      <c r="F47" t="s">
        <v>70</v>
      </c>
      <c r="G47" t="s">
        <v>71</v>
      </c>
      <c r="H47" t="s">
        <v>55</v>
      </c>
      <c r="I47" t="s">
        <v>72</v>
      </c>
      <c r="J47" t="s">
        <v>61</v>
      </c>
      <c r="K47" t="s">
        <v>73</v>
      </c>
      <c r="L47" s="6"/>
    </row>
    <row r="48" spans="1:12" ht="15" thickBot="1" x14ac:dyDescent="0.35">
      <c r="A48">
        <v>47</v>
      </c>
      <c r="B48" t="str">
        <f>CONCATENATE(Tableau1[[#This Row],[PEGS Ref]],".",Tableau1[[#This Row],['#]])</f>
        <v>P.6.47</v>
      </c>
      <c r="C48" t="s">
        <v>10</v>
      </c>
      <c r="D48" t="s">
        <v>17</v>
      </c>
      <c r="E48" t="s">
        <v>74</v>
      </c>
      <c r="F48" t="s">
        <v>75</v>
      </c>
      <c r="G48" t="s">
        <v>76</v>
      </c>
      <c r="H48" t="s">
        <v>48</v>
      </c>
      <c r="I48" t="s">
        <v>77</v>
      </c>
      <c r="J48" t="s">
        <v>61</v>
      </c>
      <c r="K48" t="s">
        <v>78</v>
      </c>
      <c r="L48" s="8"/>
    </row>
    <row r="49" spans="1:12" ht="15" thickBot="1" x14ac:dyDescent="0.35">
      <c r="A49">
        <v>48</v>
      </c>
      <c r="B49" t="str">
        <f>CONCATENATE(Tableau1[[#This Row],[PEGS Ref]],".",Tableau1[[#This Row],['#]])</f>
        <v>P.7.48</v>
      </c>
      <c r="C49" t="s">
        <v>10</v>
      </c>
      <c r="D49" t="s">
        <v>15</v>
      </c>
      <c r="E49" t="s">
        <v>63</v>
      </c>
      <c r="F49" t="s">
        <v>64</v>
      </c>
      <c r="G49" t="s">
        <v>65</v>
      </c>
      <c r="H49" t="s">
        <v>66</v>
      </c>
      <c r="I49" t="s">
        <v>67</v>
      </c>
      <c r="J49" t="s">
        <v>50</v>
      </c>
      <c r="K49" t="s">
        <v>68</v>
      </c>
      <c r="L49" s="6"/>
    </row>
    <row r="50" spans="1:12" x14ac:dyDescent="0.3">
      <c r="F50" s="1"/>
      <c r="G50" s="1"/>
      <c r="K50" s="1"/>
      <c r="L50" s="1"/>
    </row>
    <row r="51" spans="1:12" x14ac:dyDescent="0.3">
      <c r="F51" s="1"/>
      <c r="G51" s="1"/>
      <c r="K51" s="1"/>
      <c r="L51" s="1"/>
    </row>
    <row r="52" spans="1:12" x14ac:dyDescent="0.3">
      <c r="F52" s="1"/>
      <c r="G52" s="1"/>
      <c r="K52" s="1"/>
      <c r="L52" s="1"/>
    </row>
    <row r="53" spans="1:12" x14ac:dyDescent="0.3">
      <c r="F53" s="1"/>
      <c r="G53" s="1"/>
      <c r="K53" s="1"/>
      <c r="L53" s="1"/>
    </row>
  </sheetData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Requirements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Etienne Carpentier</cp:lastModifiedBy>
  <dcterms:created xsi:type="dcterms:W3CDTF">2026-01-20T14:25:19Z</dcterms:created>
  <dcterms:modified xsi:type="dcterms:W3CDTF">2026-01-28T09:31:22Z</dcterms:modified>
</cp:coreProperties>
</file>